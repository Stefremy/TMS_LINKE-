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700"/>
  </bookViews>
  <sheets>
    <sheet name="Regime da Margem" sheetId="1" r:id="rId1"/>
    <sheet name="Regime Geral (IVA Normal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<sst xmlns="http://schemas.openxmlformats.org/spreadsheetml/2006/main" count="55" uniqueCount="34">
  <si>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CALCULADORA - REGIME DA MARGEM</t>
  </si>
  <si>
    <t>Custos Fiscais de Aquisição</t>
  </si>
  <si>
    <t>Preço de Compra Fiscal (Holanda)</t>
  </si>
  <si>
    <t>Taxa de IVA (Margem)</t>
  </si>
  <si>
    <t/>
  </si>
  <si>
    <t>Outros Custos Reais da Operação</t>
  </si>
  <si>
    <t>Transporte (RITI)</t>
  </si>
  <si>
    <t>ISV</t>
  </si>
  <si>
    <t>IMT</t>
  </si>
  <si>
    <t>Reparação Mecânico (sem IVA)</t>
  </si>
  <si>
    <t>Total de Despesas Operacionais</t>
  </si>
  <si>
    <t>Objetivo Comercial</t>
  </si>
  <si>
    <t>Margem Líquida Pretendida</t>
  </si>
  <si>
    <t>RESULTADO: VALOR DA FATURA</t>
  </si>
  <si>
    <t>Preço de Venda Final (Valor a Faturar)</t>
  </si>
  <si>
    <t>Demonstração Financeira (Prova dos Nove)</t>
  </si>
  <si>
    <t>(+) Recebido do Cliente</t>
  </si>
  <si>
    <t>(–) Total de Despesas Operacionais</t>
  </si>
  <si>
    <t>(–) Preço de Compra Fiscal (Holanda)</t>
  </si>
  <si>
    <t>(=) Margem Fiscal para IVA</t>
  </si>
  <si>
    <t>(–) IVA da Margem a Pagar ao Estado</t>
  </si>
  <si>
    <t>(=) Lucro Real Final no Bolso</t>
  </si>
  <si>
    <t>CALCULADORA - REGIME GERAL (IVA NORMAL)</t>
  </si>
  <si>
    <t>Custos Reais da Operação</t>
  </si>
  <si>
    <t>Preço de Compra (Holanda)</t>
  </si>
  <si>
    <t>Total de Custos Reais (Custo Total)</t>
  </si>
  <si>
    <t>Taxa de IVA Normal</t>
  </si>
  <si>
    <t>RESULTADO: VALORES A FATURAR</t>
  </si>
  <si>
    <t>Base Tributável (Preço sem IVA)</t>
  </si>
  <si>
    <t>IVA Liquidado na Venda (23%)</t>
  </si>
  <si>
    <t>Total da Fatura (Preço Final ao Cliente)</t>
  </si>
  <si>
    <t>(+) Recebido do Cliente (Total Fatura)</t>
  </si>
  <si>
    <t>(–) IVA a Pagar ao Estado</t>
  </si>
  <si>
    <t>(–) Total de Custos Reais da Viatura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</si>
</sst>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#,##0.00&quot; €&quot;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Segoe UI"/>
      <charset val="134"/>
    </font>
    <font>
      <b/>
      <sz val="11"/>
      <color rgb="FF333333"/>
      <name val="Segoe UI"/>
      <charset val="134"/>
    </font>
    <font>
      <sz val="11"/>
      <color rgb="FF333333"/>
      <name val="Segoe UI"/>
      <charset val="134"/>
    </font>
    <font>
      <b/>
      <sz val="11"/>
      <color rgb="FF000000"/>
      <name val="Segoe U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right" vertical="center"/>
    </xf>
    <xf numFmtId="180" fontId="3" fillId="0" borderId="1" xfId="0" applyNumberFormat="1" applyFont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80" fontId="4" fillId="0" borderId="2" xfId="0" applyNumberFormat="1" applyFont="1" applyBorder="1" applyAlignment="1">
      <alignment horizontal="right"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6" workbookViewId="0">
      <selection activeCell="B24" sqref="B24"/>
    </sheetView>
  </sheetViews>
  <sheetFormatPr defaultColWidth="9" defaultRowHeight="15" outlineLevelCol="1"/>
  <cols>
    <col min="1" max="1" width="45" customWidth="1"/>
    <col min="2" max="2" width="40" customWidth="1"/>
  </cols>
  <sheetData>
    <row r="1" ht="40" customHeight="1" spans="1:2">
      <c r="A1" s="1" t="s">
        <v>0</v>
      </c>
    </row>
    <row r="2" ht="22" customHeight="1" spans="1:2">
      <c r="A2" s="2" t="s">
        <v>1</v>
      </c>
    </row>
    <row r="3" ht="22" customHeight="1" spans="1:2">
      <c r="A3" s="3" t="s">
        <v>2</v>
      </c>
      <c r="B3" s="4">
        <v>20000</v>
      </c>
    </row>
    <row r="4" ht="22" customHeight="1" spans="1:2">
      <c r="A4" s="3" t="s">
        <v>3</v>
      </c>
      <c r="B4" s="6">
        <v>0.23</v>
      </c>
    </row>
    <row r="5" ht="22" customHeight="1" spans="1:2">
      <c r="A5" s="7" t="s">
        <v>4</v>
      </c>
      <c r="B5" t="s">
        <v>4</v>
      </c>
    </row>
    <row r="6" ht="22" customHeight="1" spans="1:2">
      <c r="A6" s="2" t="s">
        <v>5</v>
      </c>
    </row>
    <row r="7" ht="22" customHeight="1" spans="1:2">
      <c r="A7" s="3" t="s">
        <v>6</v>
      </c>
      <c r="B7" s="4">
        <v>750</v>
      </c>
    </row>
    <row r="8" ht="22" customHeight="1" spans="1:2">
      <c r="A8" s="3" t="s">
        <v>7</v>
      </c>
      <c r="B8" s="4">
        <v>4000</v>
      </c>
    </row>
    <row r="9" ht="22" customHeight="1" spans="1:2">
      <c r="A9" s="3" t="s">
        <v>8</v>
      </c>
      <c r="B9" s="4">
        <v>500</v>
      </c>
    </row>
    <row r="10" ht="22" customHeight="1" spans="1:2">
      <c r="A10" s="3" t="s">
        <v>9</v>
      </c>
      <c r="B10" s="4">
        <v>1000</v>
      </c>
    </row>
    <row r="11" ht="22" customHeight="1" spans="1:2">
      <c r="A11" s="3" t="s">
        <v>10</v>
      </c>
      <c r="B11" s="5">
        <f>SUM(B7:B10)+B3</f>
        <v>26250</v>
      </c>
    </row>
    <row r="12" ht="22" customHeight="1" spans="1:2">
      <c r="A12" s="7" t="s">
        <v>4</v>
      </c>
      <c r="B12" t="s">
        <v>4</v>
      </c>
    </row>
    <row r="13" ht="22" customHeight="1" spans="1:2">
      <c r="A13" s="2" t="s">
        <v>11</v>
      </c>
    </row>
    <row r="14" ht="22" customHeight="1" spans="1:2">
      <c r="A14" s="3" t="s">
        <v>12</v>
      </c>
      <c r="B14" s="4">
        <v>1500</v>
      </c>
    </row>
    <row r="15" ht="22" customHeight="1" spans="1:2">
      <c r="A15" s="7" t="s">
        <v>4</v>
      </c>
      <c r="B15" t="s">
        <v>4</v>
      </c>
    </row>
    <row r="16" ht="22" customHeight="1" spans="1:2">
      <c r="A16" s="2" t="s">
        <v>13</v>
      </c>
    </row>
    <row r="17" ht="22" customHeight="1" spans="1:2">
      <c r="A17" s="8" t="s">
        <v>14</v>
      </c>
      <c r="B17" s="9">
        <f>(1+B4)*(B11+B14)-(B4*B3)</f>
        <v>29532.5</v>
      </c>
    </row>
    <row r="18" ht="22" customHeight="1" spans="1:2">
      <c r="A18" s="7" t="s">
        <v>4</v>
      </c>
      <c r="B18" t="s">
        <v>4</v>
      </c>
    </row>
    <row r="19" ht="22" customHeight="1" spans="1:2">
      <c r="A19" s="2" t="s">
        <v>15</v>
      </c>
    </row>
    <row r="20" ht="22" customHeight="1" spans="1:2">
      <c r="A20" s="3" t="s">
        <v>16</v>
      </c>
      <c r="B20" s="5">
        <f>B17</f>
        <v>29532.5</v>
      </c>
    </row>
    <row r="21" ht="22" customHeight="1" spans="1:2">
      <c r="A21" s="3" t="s">
        <v>17</v>
      </c>
      <c r="B21" s="5">
        <f>B11</f>
        <v>26250</v>
      </c>
    </row>
    <row r="22" ht="22" customHeight="1" spans="1:2">
      <c r="A22" s="3" t="s">
        <v>18</v>
      </c>
      <c r="B22" s="5">
        <f>B3</f>
        <v>20000</v>
      </c>
    </row>
    <row r="23" ht="22" customHeight="1" spans="1:2">
      <c r="A23" s="3" t="s">
        <v>19</v>
      </c>
      <c r="B23" s="5">
        <f>B20-B22</f>
        <v>9532.5</v>
      </c>
    </row>
    <row r="24" ht="22" customHeight="1" spans="1:2">
      <c r="A24" s="3" t="s">
        <v>20</v>
      </c>
      <c r="B24" s="5">
        <f>B23/(1+B4)*B4</f>
        <v>1782.5</v>
      </c>
    </row>
    <row r="25" ht="22" customHeight="1" spans="1:2">
      <c r="A25" s="10" t="s">
        <v>21</v>
      </c>
      <c r="B25" s="11">
        <f>B20-B21-B24</f>
        <v>1500</v>
      </c>
    </row>
    <row r="26" ht="15.75"/>
  </sheetData>
  <mergeCells count="6">
    <mergeCell ref="A1:B1"/>
    <mergeCell ref="A2:B2"/>
    <mergeCell ref="A6:B6"/>
    <mergeCell ref="A13:B13"/>
    <mergeCell ref="A16:B16"/>
    <mergeCell ref="A19:B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B16" sqref="B16"/>
    </sheetView>
  </sheetViews>
  <sheetFormatPr defaultColWidth="9" defaultRowHeight="15" outlineLevelCol="1"/>
  <cols>
    <col min="1" max="1" width="45" customWidth="1"/>
    <col min="2" max="2" width="40" customWidth="1"/>
  </cols>
  <sheetData>
    <row r="1" ht="40" customHeight="1" spans="1:2">
      <c r="A1" s="1" t="s">
        <v>22</v>
      </c>
    </row>
    <row r="2" ht="22" customHeight="1" spans="1:2">
      <c r="A2" s="2" t="s">
        <v>23</v>
      </c>
    </row>
    <row r="3" ht="22" customHeight="1" spans="1:2">
      <c r="A3" s="3" t="s">
        <v>24</v>
      </c>
      <c r="B3" s="4">
        <v>20000</v>
      </c>
    </row>
    <row r="4" ht="22" customHeight="1" spans="1:2">
      <c r="A4" s="3" t="s">
        <v>6</v>
      </c>
      <c r="B4" s="4">
        <v>750</v>
      </c>
    </row>
    <row r="5" ht="22" customHeight="1" spans="1:2">
      <c r="A5" s="3" t="s">
        <v>7</v>
      </c>
      <c r="B5" s="4">
        <v>4000</v>
      </c>
    </row>
    <row r="6" ht="22" customHeight="1" spans="1:2">
      <c r="A6" s="3" t="s">
        <v>8</v>
      </c>
      <c r="B6" s="4">
        <v>500</v>
      </c>
    </row>
    <row r="7" ht="22" customHeight="1" spans="1:2">
      <c r="A7" s="3" t="s">
        <v>9</v>
      </c>
      <c r="B7" s="4">
        <v>1000</v>
      </c>
    </row>
    <row r="8" ht="22" customHeight="1" spans="1:2">
      <c r="A8" s="3" t="s">
        <v>25</v>
      </c>
      <c r="B8" s="5">
        <f>SUM(B3:B7)</f>
        <v>26250</v>
      </c>
    </row>
    <row r="9" ht="22" customHeight="1" spans="1:2">
      <c r="A9" s="3" t="s">
        <v>26</v>
      </c>
      <c r="B9" s="6">
        <v>0.23</v>
      </c>
    </row>
    <row r="10" ht="22" customHeight="1" spans="1:2">
      <c r="A10" s="7" t="s">
        <v>4</v>
      </c>
      <c r="B10" t="s">
        <v>4</v>
      </c>
    </row>
    <row r="11" ht="22" customHeight="1" spans="1:2">
      <c r="A11" s="2" t="s">
        <v>11</v>
      </c>
    </row>
    <row r="12" ht="22" customHeight="1" spans="1:2">
      <c r="A12" s="3" t="s">
        <v>12</v>
      </c>
      <c r="B12" s="4">
        <v>1500</v>
      </c>
    </row>
    <row r="13" ht="22" customHeight="1" spans="1:2">
      <c r="A13" s="7" t="s">
        <v>4</v>
      </c>
      <c r="B13" t="s">
        <v>4</v>
      </c>
    </row>
    <row r="14" ht="22" customHeight="1" spans="1:2">
      <c r="A14" s="2" t="s">
        <v>27</v>
      </c>
    </row>
    <row r="15" ht="22" customHeight="1" spans="1:2">
      <c r="A15" s="3" t="s">
        <v>28</v>
      </c>
      <c r="B15" s="5">
        <f>B8+B12</f>
        <v>27750</v>
      </c>
    </row>
    <row r="16" ht="22" customHeight="1" spans="1:2">
      <c r="A16" s="3" t="s">
        <v>29</v>
      </c>
      <c r="B16" s="5">
        <f>B15*B9</f>
        <v>6382.5</v>
      </c>
    </row>
    <row r="17" ht="22" customHeight="1" spans="1:2">
      <c r="A17" s="8" t="s">
        <v>30</v>
      </c>
      <c r="B17" s="9">
        <f>B15+B16</f>
        <v>34132.5</v>
      </c>
    </row>
    <row r="18" ht="22" customHeight="1" spans="1:2">
      <c r="A18" s="7" t="s">
        <v>4</v>
      </c>
      <c r="B18" t="s">
        <v>4</v>
      </c>
    </row>
    <row r="19" ht="22" customHeight="1" spans="1:2">
      <c r="A19" s="2" t="s">
        <v>15</v>
      </c>
    </row>
    <row r="20" ht="22" customHeight="1" spans="1:2">
      <c r="A20" s="3" t="s">
        <v>31</v>
      </c>
      <c r="B20" s="5">
        <f>B17</f>
        <v>34132.5</v>
      </c>
    </row>
    <row r="21" ht="22" customHeight="1" spans="1:2">
      <c r="A21" s="3" t="s">
        <v>32</v>
      </c>
      <c r="B21" s="5">
        <f>B16</f>
        <v>6382.5</v>
      </c>
    </row>
    <row r="22" ht="22" customHeight="1" spans="1:2">
      <c r="A22" s="3" t="s">
        <v>33</v>
      </c>
      <c r="B22" s="5">
        <f>B8</f>
        <v>26250</v>
      </c>
    </row>
    <row r="23" ht="22" customHeight="1" spans="1:2">
      <c r="A23" s="10" t="s">
        <v>21</v>
      </c>
      <c r="B23" s="11">
        <f>B20-B21-B22</f>
        <v>1500</v>
      </c>
    </row>
    <row r="24" ht="15.75"/>
  </sheetData>
  <mergeCells count="5">
    <mergeCell ref="A1:B1"/>
    <mergeCell ref="A2:B2"/>
    <mergeCell ref="A11:B11"/>
    <mergeCell ref="A14:B14"/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Regime da Margem</vt:lpstr>
      <vt:lpstr>Regime Geral (IVA Normal)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Utilizador</cp:lastModifiedBy>
  <dcterms:created xsi:type="dcterms:W3CDTF">2026-10-14T15:50:00Z</dcterms:created>
  <dcterms:modified xsi:type="dcterms:W3CDTF">2026-10-14T15:54:02Z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CB95FAB81E584681A8C06DDF3F4C28D4_13</vt:lpwstr>
  </property>
  <property fmtid="{D5CDD505-2E9C-101B-9397-08002B2CF9AE}" pid="3" name="KSOProductBuildVer">
    <vt:lpwstr>2070-12.1.0.29162</vt:lpwstr>
  </property>
  <property fmtid="{D5CDD505-2E9C-101B-9397-08002B2CF9AE}" pid="4" name="CalculationRule">
    <vt:i4>0</vt:i4>
  </property>
</Properties>
</file>